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on.Tin/Downloads/"/>
    </mc:Choice>
  </mc:AlternateContent>
  <xr:revisionPtr revIDLastSave="0" documentId="13_ncr:1_{1E4630B2-3C1F-1246-BFD3-904D2FE7929A}" xr6:coauthVersionLast="47" xr6:coauthVersionMax="47" xr10:uidLastSave="{00000000-0000-0000-0000-000000000000}"/>
  <bookViews>
    <workbookView xWindow="0" yWindow="0" windowWidth="28800" windowHeight="18000" xr2:uid="{EB77079F-902E-104E-854A-BEA4A17E8C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20" i="1"/>
  <c r="E20" i="1"/>
  <c r="B20" i="1"/>
  <c r="L12" i="1"/>
  <c r="L13" i="1"/>
  <c r="L14" i="1"/>
  <c r="L11" i="1"/>
  <c r="L20" i="1"/>
  <c r="L21" i="1"/>
  <c r="L22" i="1"/>
  <c r="L23" i="1"/>
  <c r="L19" i="1"/>
  <c r="K18" i="1"/>
  <c r="J18" i="1"/>
  <c r="I18" i="1"/>
  <c r="H18" i="1"/>
  <c r="K10" i="1"/>
  <c r="J10" i="1"/>
  <c r="I10" i="1"/>
  <c r="H10" i="1"/>
  <c r="E15" i="1"/>
  <c r="A19" i="1"/>
  <c r="D15" i="1"/>
  <c r="A18" i="1"/>
  <c r="C15" i="1"/>
  <c r="A17" i="1"/>
  <c r="A16" i="1"/>
  <c r="B15" i="1"/>
</calcChain>
</file>

<file path=xl/sharedStrings.xml><?xml version="1.0" encoding="utf-8"?>
<sst xmlns="http://schemas.openxmlformats.org/spreadsheetml/2006/main" count="25" uniqueCount="21">
  <si>
    <t>Group ID</t>
  </si>
  <si>
    <t>Project Name</t>
  </si>
  <si>
    <t>GitHub URL</t>
  </si>
  <si>
    <t>Quantitative Peer Assessment</t>
  </si>
  <si>
    <t>Individual Technical Evidence</t>
  </si>
  <si>
    <t>Teammate Name</t>
  </si>
  <si>
    <t>Teammate ID</t>
  </si>
  <si>
    <t>Github Username</t>
  </si>
  <si>
    <t>#</t>
  </si>
  <si>
    <t>Teammate Info</t>
  </si>
  <si>
    <t>Deficiency Title</t>
  </si>
  <si>
    <t>Contribution %</t>
  </si>
  <si>
    <t>Deficiencies</t>
  </si>
  <si>
    <t>Baseline Standards</t>
  </si>
  <si>
    <t>Individual Contribution</t>
  </si>
  <si>
    <t>Total</t>
  </si>
  <si>
    <t>1. Live Uptime</t>
  </si>
  <si>
    <t>2. Test Coverage</t>
  </si>
  <si>
    <t>3. Accessibility</t>
  </si>
  <si>
    <t>4. i18n</t>
  </si>
  <si>
    <t>5. Legal Compliance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</si>
</sst>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8FFE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2" fillId="0" borderId="1" xfId="0" applyFont="1" applyBorder="1"/>
    <xf numFmtId="0" fontId="0" fillId="4" borderId="1" xfId="0" applyFill="1" applyBorder="1" applyProtection="1">
      <protection locked="0"/>
    </xf>
    <xf numFmtId="49" fontId="2" fillId="4" borderId="1" xfId="0" applyNumberFormat="1" applyFont="1" applyFill="1" applyBorder="1" applyProtection="1">
      <protection locked="0"/>
    </xf>
    <xf numFmtId="0" fontId="0" fillId="4" borderId="1" xfId="0" applyFill="1" applyBorder="1" applyAlignment="1" applyProtection="1">
      <alignment horizontal="right"/>
      <protection locked="0"/>
    </xf>
    <xf numFmtId="0" fontId="1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4" borderId="1" xfId="0" applyFont="1" applyFill="1" applyBorder="1" applyAlignment="1" applyProtection="1">
      <alignment horizontal="left"/>
      <protection locked="0"/>
    </xf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8FF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571500</xdr:colOff>
      <xdr:row>25</xdr:row>
      <xdr:rowOff>165100</xdr:rowOff>
    </xdr:from>
    <xdr:to>
      <xdr:col>11</xdr:col>
      <xdr:colOff>444500</xdr:colOff>
      <xdr:row>33</xdr:row>
      <xdr:rowOff>25400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90116CD1-FCD3-9D21-89CB-2992ED558076}"/>
            </a:ext>
          </a:extLst>
        </xdr:cNvPr>
        <xdr:cNvSpPr/>
      </xdr:nvSpPr>
      <xdr:spPr>
        <a:xfrm>
          <a:off x="571500" y="5308600"/>
          <a:ext cx="12001500" cy="1485900"/>
        </a:xfrm>
        <a:prstGeom prst="roundRect">
          <a:avLst/>
        </a:prstGeom>
        <a:solidFill>
          <a:schemeClr val="bg1"/>
        </a:solidFill>
        <a:ln w="28575">
          <a:solidFill>
            <a:schemeClr val="tx1"/>
          </a:solidFill>
          <a:prstDash val="solid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chemeClr val="tx1"/>
              </a:solidFill>
            </a:rPr>
            <a:t>Add your signatures here</a:t>
          </a:r>
        </a:p>
      </xdr:txBody>
    </xdr:sp>
    <xdr:clientData fLock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D63D0-311A-194D-9C0E-7631629153B1}">
  <dimension ref="A1:L23"/>
  <sheetViews>
    <sheetView tabSelected="1" workbookViewId="0">
      <selection activeCell="H19" sqref="H19:K23"/>
    </sheetView>
  </sheetViews>
  <sheetFormatPr baseColWidth="10" defaultRowHeight="16" x14ac:dyDescent="0.2"/>
  <cols>
    <col min="1" max="1" width="13.83203125" bestFit="1" customWidth="1"/>
    <col min="2" max="2" width="15.6640625" bestFit="1" customWidth="1"/>
    <col min="3" max="3" width="13.83203125" bestFit="1" customWidth="1"/>
    <col min="4" max="4" width="15.6640625" bestFit="1" customWidth="1"/>
    <col min="5" max="5" width="13.83203125" bestFit="1" customWidth="1"/>
    <col min="6" max="6" width="8.33203125" customWidth="1"/>
    <col min="7" max="7" width="34.6640625" customWidth="1"/>
  </cols>
  <sheetData>
    <row r="1" spans="1:12" ht="21" x14ac:dyDescent="0.25">
      <c r="A1" s="15" t="s">
        <v>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3" spans="1:12" x14ac:dyDescent="0.2">
      <c r="A3" s="2" t="s">
        <v>0</v>
      </c>
      <c r="B3" s="13"/>
      <c r="C3" s="13"/>
      <c r="D3" s="13"/>
    </row>
    <row r="4" spans="1:12" x14ac:dyDescent="0.2">
      <c r="A4" s="2" t="s">
        <v>1</v>
      </c>
      <c r="B4" s="13"/>
      <c r="C4" s="13"/>
      <c r="D4" s="13"/>
    </row>
    <row r="5" spans="1:12" x14ac:dyDescent="0.2">
      <c r="A5" s="2" t="s">
        <v>2</v>
      </c>
      <c r="B5" s="13"/>
      <c r="C5" s="13"/>
      <c r="D5" s="13"/>
    </row>
    <row r="7" spans="1:12" x14ac:dyDescent="0.2">
      <c r="A7" s="14" t="s">
        <v>9</v>
      </c>
      <c r="B7" s="14"/>
      <c r="C7" s="14"/>
      <c r="D7" s="14"/>
      <c r="G7" s="16" t="s">
        <v>4</v>
      </c>
      <c r="H7" s="17"/>
      <c r="I7" s="17"/>
      <c r="J7" s="17"/>
      <c r="K7" s="17"/>
      <c r="L7" s="18"/>
    </row>
    <row r="8" spans="1:12" x14ac:dyDescent="0.2">
      <c r="A8" s="3" t="s">
        <v>8</v>
      </c>
      <c r="B8" s="3" t="s">
        <v>5</v>
      </c>
      <c r="C8" s="3" t="s">
        <v>6</v>
      </c>
      <c r="D8" s="3" t="s">
        <v>7</v>
      </c>
      <c r="G8" s="19" t="s">
        <v>12</v>
      </c>
      <c r="H8" s="19"/>
      <c r="I8" s="19"/>
      <c r="J8" s="19"/>
      <c r="K8" s="19"/>
      <c r="L8" s="19"/>
    </row>
    <row r="9" spans="1:12" x14ac:dyDescent="0.2">
      <c r="A9" s="3">
        <v>1</v>
      </c>
      <c r="B9" s="7"/>
      <c r="C9" s="7"/>
      <c r="D9" s="7"/>
      <c r="G9" s="11" t="s">
        <v>10</v>
      </c>
      <c r="H9" s="19" t="s">
        <v>11</v>
      </c>
      <c r="I9" s="19"/>
      <c r="J9" s="19"/>
      <c r="K9" s="19"/>
      <c r="L9" s="19"/>
    </row>
    <row r="10" spans="1:12" x14ac:dyDescent="0.2">
      <c r="A10" s="3">
        <v>2</v>
      </c>
      <c r="B10" s="7"/>
      <c r="C10" s="7"/>
      <c r="D10" s="7"/>
      <c r="G10" s="11"/>
      <c r="H10" s="2">
        <f>$B$9</f>
        <v>0</v>
      </c>
      <c r="I10" s="2">
        <f>$B$10</f>
        <v>0</v>
      </c>
      <c r="J10" s="2">
        <f>$B$11</f>
        <v>0</v>
      </c>
      <c r="K10" s="2">
        <f>$B$12</f>
        <v>0</v>
      </c>
      <c r="L10" s="2" t="s">
        <v>15</v>
      </c>
    </row>
    <row r="11" spans="1:12" x14ac:dyDescent="0.2">
      <c r="A11" s="3">
        <v>3</v>
      </c>
      <c r="B11" s="7"/>
      <c r="C11" s="7"/>
      <c r="D11" s="7"/>
      <c r="G11" s="8"/>
      <c r="H11" s="7"/>
      <c r="I11" s="7"/>
      <c r="J11" s="7"/>
      <c r="K11" s="7"/>
      <c r="L11" s="1" t="str">
        <f>SUM(H11:K11) &amp; "/100"</f>
        <v>0/100</v>
      </c>
    </row>
    <row r="12" spans="1:12" x14ac:dyDescent="0.2">
      <c r="A12" s="3">
        <v>4</v>
      </c>
      <c r="B12" s="7"/>
      <c r="C12" s="7"/>
      <c r="D12" s="7"/>
      <c r="G12" s="8"/>
      <c r="H12" s="7"/>
      <c r="I12" s="7"/>
      <c r="J12" s="7"/>
      <c r="K12" s="7"/>
      <c r="L12" s="1" t="str">
        <f t="shared" ref="L12:L14" si="0">SUM(H12:K12) &amp; "/100"</f>
        <v>0/100</v>
      </c>
    </row>
    <row r="13" spans="1:12" x14ac:dyDescent="0.2">
      <c r="G13" s="8"/>
      <c r="H13" s="7"/>
      <c r="I13" s="7"/>
      <c r="J13" s="7"/>
      <c r="K13" s="7"/>
      <c r="L13" s="1" t="str">
        <f t="shared" si="0"/>
        <v>0/100</v>
      </c>
    </row>
    <row r="14" spans="1:12" x14ac:dyDescent="0.2">
      <c r="A14" s="14" t="s">
        <v>3</v>
      </c>
      <c r="B14" s="14"/>
      <c r="C14" s="14"/>
      <c r="D14" s="14"/>
      <c r="E14" s="14"/>
      <c r="G14" s="8"/>
      <c r="H14" s="7"/>
      <c r="I14" s="7"/>
      <c r="J14" s="7"/>
      <c r="K14" s="7"/>
      <c r="L14" s="1" t="str">
        <f t="shared" si="0"/>
        <v>0/100</v>
      </c>
    </row>
    <row r="15" spans="1:12" x14ac:dyDescent="0.2">
      <c r="A15" s="2"/>
      <c r="B15" s="2">
        <f>B9</f>
        <v>0</v>
      </c>
      <c r="C15" s="2">
        <f>B10</f>
        <v>0</v>
      </c>
      <c r="D15" s="2">
        <f>B11</f>
        <v>0</v>
      </c>
      <c r="E15" s="2">
        <f>B12</f>
        <v>0</v>
      </c>
      <c r="G15" s="4"/>
      <c r="L15" s="5"/>
    </row>
    <row r="16" spans="1:12" x14ac:dyDescent="0.2">
      <c r="A16" s="2">
        <f>B9</f>
        <v>0</v>
      </c>
      <c r="B16" s="9"/>
      <c r="C16" s="9"/>
      <c r="D16" s="9"/>
      <c r="E16" s="9"/>
      <c r="G16" s="10" t="s">
        <v>13</v>
      </c>
      <c r="H16" s="10"/>
      <c r="I16" s="10"/>
      <c r="J16" s="10"/>
      <c r="K16" s="10"/>
      <c r="L16" s="10"/>
    </row>
    <row r="17" spans="1:12" x14ac:dyDescent="0.2">
      <c r="A17" s="2">
        <f>B10</f>
        <v>0</v>
      </c>
      <c r="B17" s="9"/>
      <c r="C17" s="9"/>
      <c r="D17" s="9"/>
      <c r="E17" s="9"/>
      <c r="G17" s="11" t="s">
        <v>13</v>
      </c>
      <c r="H17" s="12" t="s">
        <v>11</v>
      </c>
      <c r="I17" s="12"/>
      <c r="J17" s="12"/>
      <c r="K17" s="12"/>
      <c r="L17" s="12"/>
    </row>
    <row r="18" spans="1:12" x14ac:dyDescent="0.2">
      <c r="A18" s="2">
        <f>B11</f>
        <v>0</v>
      </c>
      <c r="B18" s="9"/>
      <c r="C18" s="9"/>
      <c r="D18" s="9"/>
      <c r="E18" s="9"/>
      <c r="G18" s="11"/>
      <c r="H18" s="2">
        <f>$B$9</f>
        <v>0</v>
      </c>
      <c r="I18" s="2">
        <f>$B$10</f>
        <v>0</v>
      </c>
      <c r="J18" s="2">
        <f>$B$11</f>
        <v>0</v>
      </c>
      <c r="K18" s="2">
        <f>$B$12</f>
        <v>0</v>
      </c>
      <c r="L18" s="2" t="s">
        <v>15</v>
      </c>
    </row>
    <row r="19" spans="1:12" x14ac:dyDescent="0.2">
      <c r="A19" s="2">
        <f>B12</f>
        <v>0</v>
      </c>
      <c r="B19" s="9"/>
      <c r="C19" s="9"/>
      <c r="D19" s="9"/>
      <c r="E19" s="9"/>
      <c r="G19" s="6" t="s">
        <v>16</v>
      </c>
      <c r="H19" s="7"/>
      <c r="I19" s="7"/>
      <c r="J19" s="7"/>
      <c r="K19" s="7"/>
      <c r="L19" s="1" t="str">
        <f>SUM(H19:K19) &amp; "/100"</f>
        <v>0/100</v>
      </c>
    </row>
    <row r="20" spans="1:12" x14ac:dyDescent="0.2">
      <c r="A20" s="2" t="s">
        <v>15</v>
      </c>
      <c r="B20" s="1" t="str">
        <f>SUM(B16:B19) &amp; "/400"</f>
        <v>0/400</v>
      </c>
      <c r="C20" s="1" t="str">
        <f t="shared" ref="C20:E20" si="1">SUM(C16:C19) &amp; "/400"</f>
        <v>0/400</v>
      </c>
      <c r="D20" s="1" t="str">
        <f t="shared" si="1"/>
        <v>0/400</v>
      </c>
      <c r="E20" s="1" t="str">
        <f t="shared" si="1"/>
        <v>0/400</v>
      </c>
      <c r="G20" s="6" t="s">
        <v>17</v>
      </c>
      <c r="H20" s="7"/>
      <c r="I20" s="7"/>
      <c r="J20" s="7"/>
      <c r="K20" s="7"/>
      <c r="L20" s="1" t="str">
        <f t="shared" ref="L20:L23" si="2">SUM(H20:K20) &amp; "/100"</f>
        <v>0/100</v>
      </c>
    </row>
    <row r="21" spans="1:12" x14ac:dyDescent="0.2">
      <c r="G21" s="6" t="s">
        <v>18</v>
      </c>
      <c r="H21" s="7"/>
      <c r="I21" s="7"/>
      <c r="J21" s="7"/>
      <c r="K21" s="7"/>
      <c r="L21" s="1" t="str">
        <f t="shared" si="2"/>
        <v>0/100</v>
      </c>
    </row>
    <row r="22" spans="1:12" x14ac:dyDescent="0.2">
      <c r="G22" s="6" t="s">
        <v>19</v>
      </c>
      <c r="H22" s="7"/>
      <c r="I22" s="7"/>
      <c r="J22" s="7"/>
      <c r="K22" s="7"/>
      <c r="L22" s="1" t="str">
        <f t="shared" si="2"/>
        <v>0/100</v>
      </c>
    </row>
    <row r="23" spans="1:12" x14ac:dyDescent="0.2">
      <c r="G23" s="6" t="s">
        <v>20</v>
      </c>
      <c r="H23" s="7"/>
      <c r="I23" s="7"/>
      <c r="J23" s="7"/>
      <c r="K23" s="7"/>
      <c r="L23" s="1" t="str">
        <f t="shared" si="2"/>
        <v>0/100</v>
      </c>
    </row>
  </sheetData>
  <sheetProtection sheet="1" selectLockedCells="1"/>
  <mergeCells count="13">
    <mergeCell ref="A1:L1"/>
    <mergeCell ref="G7:L7"/>
    <mergeCell ref="G8:L8"/>
    <mergeCell ref="G9:G10"/>
    <mergeCell ref="H9:L9"/>
    <mergeCell ref="G16:L16"/>
    <mergeCell ref="G17:G18"/>
    <mergeCell ref="H17:L17"/>
    <mergeCell ref="B3:D3"/>
    <mergeCell ref="B4:D4"/>
    <mergeCell ref="B5:D5"/>
    <mergeCell ref="A14:E14"/>
    <mergeCell ref="A7:D7"/>
  </mergeCells>
  <conditionalFormatting sqref="B20:E20">
    <cfRule type="expression" dxfId="8" priority="10" stopIfTrue="1">
      <formula>SUM(B16:B19) = 400</formula>
    </cfRule>
    <cfRule type="expression" dxfId="7" priority="11" stopIfTrue="1">
      <formula>SUM(B16:B19) &lt; 400</formula>
    </cfRule>
    <cfRule type="expression" dxfId="6" priority="12" stopIfTrue="1">
      <formula>SUM(B16:B19) &gt; 400</formula>
    </cfRule>
  </conditionalFormatting>
  <conditionalFormatting sqref="L11:L14">
    <cfRule type="expression" dxfId="5" priority="13">
      <formula>SUM(H11:K11) &lt; 100</formula>
    </cfRule>
    <cfRule type="expression" dxfId="4" priority="14">
      <formula>SUM(H11:K11) &gt; 100</formula>
    </cfRule>
    <cfRule type="expression" dxfId="3" priority="15">
      <formula>SUM(H11:K11)=100</formula>
    </cfRule>
  </conditionalFormatting>
  <conditionalFormatting sqref="L19:L23">
    <cfRule type="expression" dxfId="2" priority="16">
      <formula>SUM(H19:K19) &lt; 100</formula>
    </cfRule>
    <cfRule type="expression" dxfId="1" priority="17">
      <formula>SUM(H19:K19) &gt; 100</formula>
    </cfRule>
    <cfRule type="expression" dxfId="0" priority="18">
      <formula>SUM(H19:K19)=100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soonphei tin</dc:creator>
  <cp:lastModifiedBy>soonphei tin</cp:lastModifiedBy>
  <dcterms:created xsi:type="dcterms:W3CDTF">2026-04-30T01:40:58Z</dcterms:created>
  <dcterms:modified xsi:type="dcterms:W3CDTF">2026-04-30T04:35:15Z</dcterms:modified>
</cp:coreProperties>
</file>