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ns1="http://schemas.openxmlformats.org/officeDocument/2006/relationships">
  <bookViews>
    <workbookView xWindow="0" yWindow="40" windowWidth="15960" windowHeight="18080"/>
  </bookViews>
  <sheets>
    <sheet name="Sheet1" sheetId="1" ns1:id="rId5"/>
  </sheets>
  <calcPr fullCalcOnLoad="1" forceFullCalc="1"/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<sst xmlns="http://schemas.openxmlformats.org/spreadsheetml/2006/main" uniqueCount="42">
  <si>
    <t>Individual Contribution</t>
  </si>
  <si>
    <t>Group ID</t>
  </si>
  <si>
    <t>Project Name</t>
  </si>
  <si>
    <t>Taskify</t>
  </si>
  <si>
    <t>GitHub URL</t>
  </si>
  <si>
    <r>
      <rPr>
        <u val="single"/>
        <sz val="12"/>
        <color indexed="13"/>
        <rFont val="Calibri"/>
      </rPr>
      <t>https://github.com/maoyouaa/Taskify</t>
    </r>
  </si>
  <si>
    <t>Teammate Info</t>
  </si>
  <si>
    <t>Individual Technical Evidence</t>
  </si>
  <si>
    <t>#</t>
  </si>
  <si>
    <t>Teammate Name</t>
  </si>
  <si>
    <t>Teammate ID</t>
  </si>
  <si>
    <t>Github Username</t>
  </si>
  <si>
    <t>Deficiencies</t>
  </si>
  <si>
    <t>Cheng Guorui</t>
  </si>
  <si>
    <t>2253189</t>
  </si>
  <si>
    <t>maoyouaa</t>
  </si>
  <si>
    <t>Deficiency Title</t>
  </si>
  <si>
    <t>Contribution %</t>
  </si>
  <si>
    <t>Sun Yifan</t>
  </si>
  <si>
    <t>2255617</t>
  </si>
  <si>
    <t>peterlololsss</t>
  </si>
  <si>
    <t>Xie Zhuoyan</t>
  </si>
  <si>
    <t>Zhang Shuo</t>
  </si>
  <si>
    <t>Total</t>
  </si>
  <si>
    <t>2254529</t>
  </si>
  <si>
    <t>juiSeIn</t>
  </si>
  <si>
    <t>Authentication Form Fields Relied on Placeholder Text</t>
  </si>
  <si>
    <t>100/100</t>
  </si>
  <si>
    <t>2252868</t>
  </si>
  <si>
    <t>Min0Nclm</t>
  </si>
  <si>
    <t>Authentication Forms Submitted to Missing Backend Routes</t>
  </si>
  <si>
    <t>Dashboard Tasks Were Lost After Refresh</t>
  </si>
  <si>
    <t>Quantitative Peer Assessment</t>
  </si>
  <si>
    <t>Weak User Feedback and Unclear Task Actions</t>
  </si>
  <si>
    <t>Baseline Standards</t>
  </si>
  <si>
    <t>1. Live Uptime</t>
  </si>
  <si>
    <t>0/100</t>
  </si>
  <si>
    <t>400/400</t>
  </si>
  <si>
    <t>2. Test Coverage</t>
  </si>
  <si>
    <t>3. Accessibility</t>
  </si>
  <si>
    <t>4. i18n</t>
  </si>
  <si>
    <t>5. Legal Compliance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</si>
</sst>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6"/>
      <color indexed="9"/>
      <name val="Calibri"/>
    </font>
    <font>
      <b val="1"/>
      <sz val="12"/>
      <color indexed="9"/>
      <name val="Calibri"/>
    </font>
    <font>
      <u val="single"/>
      <sz val="12"/>
      <color indexed="13"/>
      <name val="Calibri"/>
    </font>
    <font>
      <b val="1"/>
      <sz val="12"/>
      <color indexed="8"/>
      <name val="Calibri"/>
    </font>
    <font>
      <b val="1"/>
      <sz val="12"/>
      <color indexed="15"/>
      <name val="Calibri"/>
    </font>
    <font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0" fontId="3" borderId="1" applyNumberFormat="0" applyFont="1" applyFill="0" applyBorder="1" applyAlignment="1" applyProtection="0">
      <alignment horizontal="center" vertical="bottom"/>
    </xf>
    <xf numFmtId="0" fontId="0" borderId="2" applyNumberFormat="0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vertical="bottom"/>
    </xf>
    <xf numFmtId="0" fontId="0" fillId="3" borderId="3" applyNumberFormat="1" applyFont="1" applyFill="1" applyBorder="1" applyAlignment="1" applyProtection="0">
      <alignment horizontal="left" vertical="bottom"/>
    </xf>
    <xf numFmtId="0" fontId="0" fillId="3" borderId="3" applyNumberFormat="0" applyFont="1" applyFill="1" applyBorder="1" applyAlignment="1" applyProtection="0">
      <alignment horizontal="left" vertical="bottom"/>
    </xf>
    <xf numFmtId="0" fontId="0" borderId="4" applyNumberFormat="0" applyFont="1" applyFill="0" applyBorder="1" applyAlignment="1" applyProtection="0">
      <alignment vertical="bottom"/>
    </xf>
    <xf numFmtId="49" fontId="0" fillId="3" borderId="3" applyNumberFormat="1" applyFont="1" applyFill="1" applyBorder="1" applyAlignment="1" applyProtection="0">
      <alignment horizontal="left" vertical="bottom"/>
    </xf>
    <xf numFmtId="0" fontId="0" borderId="5" applyNumberFormat="0" applyFont="1" applyFill="0" applyBorder="1" applyAlignment="1" applyProtection="0">
      <alignment vertical="bottom"/>
    </xf>
    <xf numFmtId="49" fontId="6" borderId="3" applyNumberFormat="1" applyFont="1" applyFill="0" applyBorder="1" applyAlignment="1" applyProtection="0">
      <alignment horizontal="center" vertical="bottom"/>
    </xf>
    <xf numFmtId="0" fontId="6" borderId="3" applyNumberFormat="0" applyFont="1" applyFill="0" applyBorder="1" applyAlignment="1" applyProtection="0">
      <alignment horizontal="center" vertical="bottom"/>
    </xf>
    <xf numFmtId="0" fontId="0" borderId="6" applyNumberFormat="0" applyFont="1" applyFill="0" applyBorder="1" applyAlignment="1" applyProtection="0">
      <alignment vertical="bottom"/>
    </xf>
    <xf numFmtId="49" fontId="6" borderId="7" applyNumberFormat="1" applyFont="1" applyFill="0" applyBorder="1" applyAlignment="1" applyProtection="0">
      <alignment horizontal="center" vertical="bottom"/>
    </xf>
    <xf numFmtId="0" fontId="6" borderId="5" applyNumberFormat="0" applyFont="1" applyFill="0" applyBorder="1" applyAlignment="1" applyProtection="0">
      <alignment horizontal="center" vertical="bottom"/>
    </xf>
    <xf numFmtId="0" fontId="6" borderId="8" applyNumberFormat="0" applyFont="1" applyFill="0" applyBorder="1" applyAlignment="1" applyProtection="0">
      <alignment horizontal="center" vertical="bottom"/>
    </xf>
    <xf numFmtId="49" fontId="4" fillId="2" borderId="3" applyNumberFormat="1" applyFont="1" applyFill="1" applyBorder="1" applyAlignment="1" applyProtection="0">
      <alignment horizontal="center" vertical="bottom"/>
    </xf>
    <xf numFmtId="49" fontId="6" fillId="4" borderId="3" applyNumberFormat="1" applyFont="1" applyFill="1" applyBorder="1" applyAlignment="1" applyProtection="0">
      <alignment horizontal="center" vertical="bottom"/>
    </xf>
    <xf numFmtId="0" fontId="6" fillId="4" borderId="3" applyNumberFormat="0" applyFont="1" applyFill="1" applyBorder="1" applyAlignment="1" applyProtection="0">
      <alignment horizontal="center" vertical="bottom"/>
    </xf>
    <xf numFmtId="0" fontId="4" fillId="2" borderId="3" applyNumberFormat="1" applyFont="1" applyFill="1" applyBorder="1" applyAlignment="1" applyProtection="0">
      <alignment horizontal="center" vertical="bottom"/>
    </xf>
    <xf numFmtId="49" fontId="0" fillId="3" borderId="3" applyNumberFormat="1" applyFont="1" applyFill="1" applyBorder="1" applyAlignment="1" applyProtection="0">
      <alignment vertical="bottom"/>
    </xf>
    <xf numFmtId="0" fontId="4" fillId="2" borderId="3" applyNumberFormat="0" applyFont="1" applyFill="1" applyBorder="1" applyAlignment="1" applyProtection="0">
      <alignment horizontal="center" vertical="bottom"/>
    </xf>
    <xf numFmtId="0" fontId="4" fillId="2" borderId="3" applyNumberFormat="0" applyFont="1" applyFill="1" applyBorder="1" applyAlignment="1" applyProtection="0">
      <alignment vertical="bottom"/>
    </xf>
    <xf numFmtId="49" fontId="7" fillId="3" borderId="3" applyNumberFormat="1" applyFont="1" applyFill="1" applyBorder="1" applyAlignment="1" applyProtection="0">
      <alignment vertical="bottom"/>
    </xf>
    <xf numFmtId="0" fontId="0" fillId="3" borderId="3" applyNumberFormat="1" applyFont="1" applyFill="1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fillId="3" borderId="3" applyNumberFormat="1" applyFont="1" applyFill="1" applyBorder="1" applyAlignment="1" applyProtection="0">
      <alignment horizontal="right" vertical="bottom"/>
    </xf>
    <xf numFmtId="49" fontId="0" fillId="4" borderId="3" applyNumberFormat="1" applyFont="1" applyFill="1" applyBorder="1" applyAlignment="1" applyProtection="0">
      <alignment horizontal="center" vertical="bottom"/>
    </xf>
    <xf numFmtId="0" fontId="0" fillId="4" borderId="3" applyNumberFormat="0" applyFont="1" applyFill="1" applyBorder="1" applyAlignment="1" applyProtection="0">
      <alignment horizontal="center" vertical="bottom"/>
    </xf>
    <xf numFmtId="49" fontId="4" borderId="3" applyNumberFormat="1" applyFont="1" applyFill="0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48135"/>
      <rgbColor rgb="ffaaaaaa"/>
      <rgbColor rgb="ffd8d8d8"/>
      <rgbColor rgb="ffe8ffe9"/>
      <rgbColor rgb="ff0563c1"/>
      <rgbColor rgb="ffa5a5a5"/>
      <rgbColor rgb="ff5481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571500</xdr:colOff>
      <xdr:row>25</xdr:row>
      <xdr:rowOff>153504</xdr:rowOff>
    </xdr:from>
    <xdr:to>
      <xdr:col>11</xdr:col>
      <xdr:colOff>444500</xdr:colOff>
      <xdr:row>33</xdr:row>
      <xdr:rowOff>36995</xdr:rowOff>
    </xdr:to>
    <xdr:grpSp>
      <xdr:nvGrpSpPr>
        <xdr:cNvPr id="4" name="Rounded Rectangle 4"/>
        <xdr:cNvGrpSpPr/>
      </xdr:nvGrpSpPr>
      <xdr:grpSpPr>
        <a:xfrm>
          <a:off x="571500" y="5297004"/>
          <a:ext cx="12001500" cy="1509092"/>
          <a:chOff x="0" y="-11595"/>
          <a:chExt cx="12001500" cy="1509091"/>
        </a:xfrm>
      </xdr:grpSpPr>
      <xdr:sp>
        <xdr:nvSpPr>
          <xdr:cNvPr id="2" name="Rounded Rectangle"/>
          <xdr:cNvSpPr/>
        </xdr:nvSpPr>
        <xdr:spPr>
          <a:xfrm>
            <a:off x="0" y="0"/>
            <a:ext cx="12001500" cy="1485900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" name="Add your signatures here"/>
          <xdr:cNvSpPr txBox="1"/>
        </xdr:nvSpPr>
        <xdr:spPr>
          <a:xfrm>
            <a:off x="113493" y="-11596"/>
            <a:ext cx="11774514" cy="1509092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t">
            <a:no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1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1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Add your signatures here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maoyouaa/Taskify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ns1="http://schemas.openxmlformats.org/officeDocument/2006/relationships">
  <dimension ref="A1:L34"/>
  <sheetViews>
    <sheetView workbookViewId="0" showGridLines="0" defaultGridColor="1"/>
  </sheetViews>
  <sheetFormatPr defaultColWidth="10.8333" defaultRowHeight="16" customHeight="1" outlineLevelRow="0" outlineLevelCol="0"/>
  <cols>
    <col min="1" max="1" width="13.8516" style="1" customWidth="1"/>
    <col min="2" max="2" width="15.6719" style="1" customWidth="1"/>
    <col min="3" max="3" width="13.8516" style="1" customWidth="1"/>
    <col min="4" max="4" width="15.6719" style="1" customWidth="1"/>
    <col min="5" max="5" width="13.8516" style="1" customWidth="1"/>
    <col min="6" max="6" width="8.35156" style="1" customWidth="1"/>
    <col min="7" max="7" width="34.6719" style="1" customWidth="1"/>
    <col min="8" max="12" width="10.8516" style="1" customWidth="1"/>
    <col min="13" max="16384" width="10.8516" style="1" customWidth="1"/>
  </cols>
  <sheetData>
    <row r="1" ht="21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16" customHeight="1">
      <c r="A2" s="4"/>
      <c r="B2" s="4"/>
      <c r="C2" s="4"/>
      <c r="D2" s="4"/>
      <c r="E2" s="5"/>
      <c r="F2" s="5"/>
      <c r="G2" s="5"/>
      <c r="H2" s="5"/>
      <c r="I2" s="5"/>
      <c r="J2" s="5"/>
      <c r="K2" s="5"/>
      <c r="L2" s="5"/>
    </row>
    <row r="3" ht="16" customHeight="1">
      <c r="A3" t="s" s="6">
        <v>1</v>
      </c>
      <c r="B3" s="7">
        <v>13</v>
      </c>
      <c r="C3" s="8"/>
      <c r="D3" s="8"/>
      <c r="E3" s="9"/>
      <c r="F3" s="5"/>
      <c r="G3" s="5"/>
      <c r="H3" s="5"/>
      <c r="I3" s="5"/>
      <c r="J3" s="5"/>
      <c r="K3" s="5"/>
      <c r="L3" s="5"/>
    </row>
    <row r="4" ht="16" customHeight="1">
      <c r="A4" t="s" s="6">
        <v>2</v>
      </c>
      <c r="B4" t="s" s="10">
        <v>3</v>
      </c>
      <c r="C4" s="8"/>
      <c r="D4" s="8"/>
      <c r="E4" s="9"/>
      <c r="F4" s="5"/>
      <c r="G4" s="5"/>
      <c r="H4" s="5"/>
      <c r="I4" s="5"/>
      <c r="J4" s="5"/>
      <c r="K4" s="5"/>
      <c r="L4" s="5"/>
    </row>
    <row r="5" ht="16" customHeight="1">
      <c r="A5" t="s" s="6">
        <v>4</v>
      </c>
      <c r="B5" t="s" s="10">
        <v>5</v>
      </c>
      <c r="C5" s="8"/>
      <c r="D5" s="8"/>
      <c r="E5" s="9"/>
      <c r="F5" s="5"/>
      <c r="G5" s="5"/>
      <c r="H5" s="5"/>
      <c r="I5" s="5"/>
      <c r="J5" s="5"/>
      <c r="K5" s="5"/>
      <c r="L5" s="5"/>
    </row>
    <row r="6" ht="16" customHeight="1">
      <c r="A6" s="11"/>
      <c r="B6" s="11"/>
      <c r="C6" s="11"/>
      <c r="D6" s="11"/>
      <c r="E6" s="5"/>
      <c r="F6" s="5"/>
      <c r="G6" s="4"/>
      <c r="H6" s="4"/>
      <c r="I6" s="4"/>
      <c r="J6" s="4"/>
      <c r="K6" s="4"/>
      <c r="L6" s="4"/>
    </row>
    <row r="7" ht="16" customHeight="1">
      <c r="A7" t="s" s="12">
        <v>6</v>
      </c>
      <c r="B7" s="13"/>
      <c r="C7" s="13"/>
      <c r="D7" s="13"/>
      <c r="E7" s="9"/>
      <c r="F7" s="14"/>
      <c r="G7" t="s" s="15">
        <v>7</v>
      </c>
      <c r="H7" s="16"/>
      <c r="I7" s="16"/>
      <c r="J7" s="16"/>
      <c r="K7" s="16"/>
      <c r="L7" s="17"/>
    </row>
    <row r="8" ht="16" customHeight="1">
      <c r="A8" t="s" s="18">
        <v>8</v>
      </c>
      <c r="B8" t="s" s="18">
        <v>9</v>
      </c>
      <c r="C8" t="s" s="18">
        <v>10</v>
      </c>
      <c r="D8" t="s" s="18">
        <v>11</v>
      </c>
      <c r="E8" s="9"/>
      <c r="F8" s="14"/>
      <c r="G8" t="s" s="19">
        <v>12</v>
      </c>
      <c r="H8" s="20"/>
      <c r="I8" s="20"/>
      <c r="J8" s="20"/>
      <c r="K8" s="20"/>
      <c r="L8" s="20"/>
    </row>
    <row r="9" ht="16" customHeight="1">
      <c r="A9" s="21">
        <v>1</v>
      </c>
      <c r="B9" t="s" s="22">
        <v>13</v>
      </c>
      <c r="C9" t="s" s="22">
        <v>14</v>
      </c>
      <c r="D9" t="s" s="22">
        <v>15</v>
      </c>
      <c r="E9" s="9"/>
      <c r="F9" s="14"/>
      <c r="G9" t="s" s="18">
        <v>16</v>
      </c>
      <c r="H9" t="s" s="19">
        <v>17</v>
      </c>
      <c r="I9" s="20"/>
      <c r="J9" s="20"/>
      <c r="K9" s="20"/>
      <c r="L9" s="20"/>
    </row>
    <row r="10" ht="16" customHeight="1">
      <c r="A10" s="21">
        <v>2</v>
      </c>
      <c r="B10" t="s" s="22">
        <v>18</v>
      </c>
      <c r="C10" t="s" s="22">
        <v>19</v>
      </c>
      <c r="D10" t="s" s="22">
        <v>20</v>
      </c>
      <c r="E10" s="9"/>
      <c r="F10" s="14"/>
      <c r="G10" s="23"/>
      <c r="H10" t="str" s="24" cm="1">
        <f t="array" ref="H10">$B$9</f>
        <v>Cheng Guorui</v>
      </c>
      <c r="I10" t="str" s="24" cm="1">
        <f t="array" ref="I10">$B$10</f>
        <v>Sun Yifan</v>
      </c>
      <c r="J10" t="str" s="24" cm="1">
        <f t="array" ref="J10">$B$11</f>
        <v>Xie Zhuoyan</v>
      </c>
      <c r="K10" t="str" s="24" cm="1">
        <f t="array" ref="K10">$B$12</f>
        <v>Zhang Shuo</v>
      </c>
      <c r="L10" t="s" s="6">
        <v>23</v>
      </c>
    </row>
    <row r="11" ht="16" customHeight="1">
      <c r="A11" s="21">
        <v>3</v>
      </c>
      <c r="B11" t="s" s="22">
        <v>21</v>
      </c>
      <c r="C11" t="s" s="22">
        <v>24</v>
      </c>
      <c r="D11" t="s" s="22">
        <v>25</v>
      </c>
      <c r="E11" s="9"/>
      <c r="F11" s="14"/>
      <c r="G11" t="s" s="25">
        <v>26</v>
      </c>
      <c r="H11" s="26">
        <v>100</v>
      </c>
      <c r="I11" s="26">
        <v>0</v>
      </c>
      <c r="J11" s="26">
        <v>0</v>
      </c>
      <c r="K11" s="26">
        <v>0</v>
      </c>
      <c r="L11" t="str" s="27" cm="1">
        <f t="array" ref="L11">SUM(H11:K11)&amp;"/100"</f>
        <v>100/100</v>
      </c>
    </row>
    <row r="12" ht="16" customHeight="1">
      <c r="A12" s="21">
        <v>4</v>
      </c>
      <c r="B12" t="s" s="22">
        <v>22</v>
      </c>
      <c r="C12" t="s" s="22">
        <v>28</v>
      </c>
      <c r="D12" t="s" s="22">
        <v>29</v>
      </c>
      <c r="E12" s="9"/>
      <c r="F12" s="14"/>
      <c r="G12" t="s" s="25">
        <v>30</v>
      </c>
      <c r="H12" s="26">
        <v>0</v>
      </c>
      <c r="I12" s="26">
        <v>100</v>
      </c>
      <c r="J12" s="26">
        <v>0</v>
      </c>
      <c r="K12" s="26">
        <v>0</v>
      </c>
      <c r="L12" t="str" s="27" cm="1">
        <f t="array" ref="L12">SUM(H12:K12)&amp;"/100"</f>
        <v>100/100</v>
      </c>
    </row>
    <row r="13" ht="16" customHeight="1">
      <c r="A13" s="11"/>
      <c r="B13" s="11"/>
      <c r="C13" s="11"/>
      <c r="D13" s="11"/>
      <c r="E13" s="4"/>
      <c r="F13" s="14"/>
      <c r="G13" t="s" s="25">
        <v>31</v>
      </c>
      <c r="H13" s="26">
        <v>0</v>
      </c>
      <c r="I13" s="26">
        <v>0</v>
      </c>
      <c r="J13" s="26">
        <v>100</v>
      </c>
      <c r="K13" s="26">
        <v>0</v>
      </c>
      <c r="L13" t="str" s="27" cm="1">
        <f t="array" ref="L13">SUM(H13:K13)&amp;"/100"</f>
        <v>100/100</v>
      </c>
    </row>
    <row r="14" ht="16" customHeight="1">
      <c r="A14" t="s" s="12">
        <v>32</v>
      </c>
      <c r="B14" s="13"/>
      <c r="C14" s="13"/>
      <c r="D14" s="13"/>
      <c r="E14" s="13"/>
      <c r="F14" s="28"/>
      <c r="G14" t="s" s="25">
        <v>33</v>
      </c>
      <c r="H14" s="26">
        <v>0</v>
      </c>
      <c r="I14" s="26">
        <v>0</v>
      </c>
      <c r="J14" s="26">
        <v>0</v>
      </c>
      <c r="K14" s="26">
        <v>100</v>
      </c>
      <c r="L14" t="str" s="27" cm="1">
        <f t="array" ref="L14">SUM(H14:K14)&amp;"/100"</f>
        <v>100/100</v>
      </c>
    </row>
    <row r="15" ht="16" customHeight="1">
      <c r="A15" s="24"/>
      <c r="B15" t="str" s="24" cm="1">
        <f t="array" ref="B15">B9</f>
        <v>Cheng Guorui</v>
      </c>
      <c r="C15" t="str" s="24" cm="1">
        <f t="array" ref="C15">B10</f>
        <v>Sun Yifan</v>
      </c>
      <c r="D15" t="str" s="24" cm="1">
        <f t="array" ref="D15">B11</f>
        <v>Xie Zhuoyan</v>
      </c>
      <c r="E15" t="str" s="24" cm="1">
        <f t="array" ref="E15">B12</f>
        <v>Zhang Shuo</v>
      </c>
      <c r="F15" s="28"/>
      <c r="G15" s="29"/>
      <c r="H15" s="11"/>
      <c r="I15" s="11"/>
      <c r="J15" s="11"/>
      <c r="K15" s="11"/>
      <c r="L15" s="30"/>
    </row>
    <row r="16" ht="16" customHeight="1">
      <c r="A16" t="str" s="24" cm="1">
        <f t="array" ref="A16">B9</f>
        <v>Cheng Guorui</v>
      </c>
      <c r="B16" s="31">
        <v>100</v>
      </c>
      <c r="C16" s="31">
        <v>100</v>
      </c>
      <c r="D16" s="31">
        <v>100</v>
      </c>
      <c r="E16" s="31">
        <v>100</v>
      </c>
      <c r="F16" s="28"/>
      <c r="G16" t="s" s="19">
        <v>34</v>
      </c>
      <c r="H16" s="20"/>
      <c r="I16" s="20"/>
      <c r="J16" s="20"/>
      <c r="K16" s="20"/>
      <c r="L16" s="20"/>
    </row>
    <row r="17" ht="16" customHeight="1">
      <c r="A17" t="str" s="24" cm="1">
        <f t="array" ref="A17">B10</f>
        <v>Sun Yifan</v>
      </c>
      <c r="B17" s="31">
        <v>100</v>
      </c>
      <c r="C17" s="31">
        <v>100</v>
      </c>
      <c r="D17" s="31">
        <v>100</v>
      </c>
      <c r="E17" s="31">
        <v>100</v>
      </c>
      <c r="F17" s="28"/>
      <c r="G17" t="s" s="18">
        <v>34</v>
      </c>
      <c r="H17" t="s" s="32">
        <v>17</v>
      </c>
      <c r="I17" s="33"/>
      <c r="J17" s="33"/>
      <c r="K17" s="33"/>
      <c r="L17" s="33"/>
    </row>
    <row r="18" ht="16" customHeight="1">
      <c r="A18" t="str" s="24" cm="1">
        <f t="array" ref="A18">B11</f>
        <v>Xie Zhuoyan</v>
      </c>
      <c r="B18" s="31">
        <v>100</v>
      </c>
      <c r="C18" s="31">
        <v>100</v>
      </c>
      <c r="D18" s="31">
        <v>100</v>
      </c>
      <c r="E18" s="31">
        <v>100</v>
      </c>
      <c r="F18" s="28"/>
      <c r="G18" s="23"/>
      <c r="H18" t="str" s="24" cm="1">
        <f t="array" ref="H18">$B$9</f>
        <v>Cheng Guorui</v>
      </c>
      <c r="I18" t="str" s="24" cm="1">
        <f t="array" ref="I18">$B$10</f>
        <v>Sun Yifan</v>
      </c>
      <c r="J18" t="str" s="24" cm="1">
        <f t="array" ref="J18">$B$11</f>
        <v>Xie Zhuoyan</v>
      </c>
      <c r="K18" t="str" s="24" cm="1">
        <f t="array" ref="K18">$B$12</f>
        <v>Zhang Shuo</v>
      </c>
      <c r="L18" t="s" s="6">
        <v>23</v>
      </c>
    </row>
    <row r="19" ht="16" customHeight="1">
      <c r="A19" t="str" s="24" cm="1">
        <f t="array" ref="A19">B12</f>
        <v>Zhang Shuo</v>
      </c>
      <c r="B19" s="31">
        <v>100</v>
      </c>
      <c r="C19" s="31">
        <v>100</v>
      </c>
      <c r="D19" s="31">
        <v>100</v>
      </c>
      <c r="E19" s="31">
        <v>100</v>
      </c>
      <c r="F19" s="28"/>
      <c r="G19" t="s" s="34">
        <v>35</v>
      </c>
      <c r="H19" s="35">
        <v>35</v>
      </c>
      <c r="I19" s="35">
        <v>25</v>
      </c>
      <c r="J19" s="35">
        <v>20</v>
      </c>
      <c r="K19" s="35">
        <v>20</v>
      </c>
      <c r="L19" s="27" t="str">
        <f>SUM(H19:K19)&amp;"/100"</f>
        <v>100/100</v>
      </c>
    </row>
    <row r="20" ht="16" customHeight="1">
      <c r="A20" t="s" s="6">
        <v>23</v>
      </c>
      <c r="B20" t="str" s="27" cm="1">
        <f t="array" ref="B20">SUM(B16:B19)&amp;"/400"</f>
        <v>400/400</v>
      </c>
      <c r="C20" t="str" s="27" cm="1">
        <f t="array" ref="C20">SUM(C16:C19)&amp;"/400"</f>
        <v>400/400</v>
      </c>
      <c r="D20" t="str" s="27" cm="1">
        <f t="array" ref="D20">SUM(D16:D19)&amp;"/400"</f>
        <v>400/400</v>
      </c>
      <c r="E20" t="str" s="27" cm="1">
        <f t="array" ref="E20">SUM(E16:E19)&amp;"/400"</f>
        <v>400/400</v>
      </c>
      <c r="F20" s="28"/>
      <c r="G20" t="s" s="34">
        <v>38</v>
      </c>
      <c r="H20" s="35">
        <v>10</v>
      </c>
      <c r="I20" s="35">
        <v>25</v>
      </c>
      <c r="J20" s="35">
        <v>45</v>
      </c>
      <c r="K20" s="35">
        <v>20</v>
      </c>
      <c r="L20" s="27" t="str">
        <f>SUM(H20:K20)&amp;"/100"</f>
        <v>100/100</v>
      </c>
    </row>
    <row r="21" ht="16" customHeight="1">
      <c r="A21" s="36"/>
      <c r="B21" s="36"/>
      <c r="C21" s="36"/>
      <c r="D21" s="36"/>
      <c r="E21" s="36"/>
      <c r="F21" s="14"/>
      <c r="G21" t="s" s="34">
        <v>39</v>
      </c>
      <c r="H21" s="35">
        <v>30</v>
      </c>
      <c r="I21" s="35">
        <v>30</v>
      </c>
      <c r="J21" s="35">
        <v>15</v>
      </c>
      <c r="K21" s="35">
        <v>25</v>
      </c>
      <c r="L21" s="27" t="str">
        <f>SUM(H21:K21)&amp;"/100"</f>
        <v>100/100</v>
      </c>
    </row>
    <row r="22" ht="16" customHeight="1">
      <c r="A22" s="5"/>
      <c r="B22" s="5"/>
      <c r="C22" s="5"/>
      <c r="D22" s="5"/>
      <c r="E22" s="5"/>
      <c r="F22" s="14"/>
      <c r="G22" t="s" s="34">
        <v>40</v>
      </c>
      <c r="H22" s="35">
        <v>30</v>
      </c>
      <c r="I22" s="35">
        <v>20</v>
      </c>
      <c r="J22" s="35">
        <v>20</v>
      </c>
      <c r="K22" s="35">
        <v>30</v>
      </c>
      <c r="L22" s="27" t="str">
        <f>SUM(H22:K22)&amp;"/100"</f>
        <v>100/100</v>
      </c>
    </row>
    <row r="23" ht="16" customHeight="1">
      <c r="A23" s="5"/>
      <c r="B23" s="5"/>
      <c r="C23" s="5"/>
      <c r="D23" s="5"/>
      <c r="E23" s="5"/>
      <c r="F23" s="14"/>
      <c r="G23" t="s" s="34">
        <v>41</v>
      </c>
      <c r="H23" s="35">
        <v>20</v>
      </c>
      <c r="I23" s="35">
        <v>25</v>
      </c>
      <c r="J23" s="35">
        <v>25</v>
      </c>
      <c r="K23" s="35">
        <v>30</v>
      </c>
      <c r="L23" s="27" t="str">
        <f>SUM(H23:K23)&amp;"/100"</f>
        <v>100/100</v>
      </c>
    </row>
    <row r="24" ht="16" customHeight="1">
      <c r="A24" s="5"/>
      <c r="B24" s="5"/>
      <c r="C24" s="5"/>
      <c r="D24" s="5"/>
      <c r="E24" s="5"/>
      <c r="F24" s="5"/>
      <c r="G24" s="36"/>
      <c r="H24" s="36"/>
      <c r="I24" s="36"/>
      <c r="J24" s="36"/>
      <c r="K24" s="36"/>
      <c r="L24" s="36"/>
    </row>
    <row r="25" ht="16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ht="16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ht="16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ht="16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ht="16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ht="16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ht="16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ht="16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ht="16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ht="16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</sheetData>
  <mergeCells count="13">
    <mergeCell ref="A1:L1"/>
    <mergeCell ref="G7:L7"/>
    <mergeCell ref="G8:L8"/>
    <mergeCell ref="G9:G10"/>
    <mergeCell ref="H9:L9"/>
    <mergeCell ref="G16:L16"/>
    <mergeCell ref="G17:G18"/>
    <mergeCell ref="H17:L17"/>
    <mergeCell ref="B3:D3"/>
    <mergeCell ref="B4:D4"/>
    <mergeCell ref="B5:D5"/>
    <mergeCell ref="A14:E14"/>
    <mergeCell ref="A7:D7"/>
  </mergeCells>
  <hyperlinks>
    <hyperlink ref="B5" ns1:id="rId1" location="" tooltip="" display="https://github.com/maoyouaa/Taskify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ns1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